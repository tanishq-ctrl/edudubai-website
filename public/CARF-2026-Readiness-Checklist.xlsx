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3660"/>
  </bookViews>
  <sheets>
    <sheet sheetId="1" name="Checklist" state="visible" r:id="rId4"/>
    <sheet sheetId="2" name="Dashboard" state="visible" r:id="rId5"/>
  </sheets>
  <definedNames>
    <definedName name="_xlnm.Print_Area" localSheetId="0">'Checklist'!$A2:$K52</definedName>
  </definedNames>
  <calcPr calcId="171027"/>
</workbook>
</file>

<file path=xl/sharedStrings.xml><?xml version="1.0" encoding="utf-8"?>
<sst xmlns="http://schemas.openxmlformats.org/spreadsheetml/2006/main" count="188" uniqueCount="118">
  <si>
    <t>Edu-Dubai Training &amp; Consulting</t>
  </si>
  <si>
    <t>CARF 2026-27 OPERATIONAL READINESS CHECKLIST</t>
  </si>
  <si>
    <t>Action Items Across All 6 CARF Risk Zones  ·   Edu-Dubai - Training | Legal |Consulting</t>
  </si>
  <si>
    <t>DATA COLLECTION LIVE: January 1, 2026   ·   FIRST REPORTS DUE: May 31, 2027   ·   JURISDICTIONS COMMITTED: 75+ worldwide</t>
  </si>
  <si>
    <t>HOW TO USE  ·  Mark X in the Yes, No, or In Progress column that reflects your institution's current status for each action item. One mark per row. Dashboard on the next tab updates automatically.</t>
  </si>
  <si>
    <t>STATUS — Mark X in one column</t>
  </si>
  <si>
    <t>#</t>
  </si>
  <si>
    <t>Risk Zone</t>
  </si>
  <si>
    <t>Action Item</t>
  </si>
  <si>
    <t>Guidance / Note</t>
  </si>
  <si>
    <t>Priority</t>
  </si>
  <si>
    <t>Yes</t>
  </si>
  <si>
    <t>No</t>
  </si>
  <si>
    <t xml:space="preserve">In
Progress</t>
  </si>
  <si>
    <t>Owner</t>
  </si>
  <si>
    <t>Target Date</t>
  </si>
  <si>
    <t>Notes</t>
  </si>
  <si>
    <t>RISK 01  —  Self-Certification &amp; Due Diligence Failures</t>
  </si>
  <si>
    <t>Self-Certification &amp; Due Diligence Failures</t>
  </si>
  <si>
    <t>Map every onboarding flow that touches a crypto-asset user.</t>
  </si>
  <si>
    <t>New accounts opened from Jan 1, 2026 must capture a valid self-certification at the point of onboarding.</t>
  </si>
  <si>
    <t>Critical</t>
  </si>
  <si>
    <t>Identify all pre-existing accounts missing a valid self-certification.</t>
  </si>
  <si>
    <t>Run a full client-base sweep — historical KYC records were not designed with CARF fields in mind.</t>
  </si>
  <si>
    <t>Build or confirm a remediation workflow with reminder cadence.</t>
  </si>
  <si>
    <t>DAC8 requires two reminders within a 60-day window before a mandatory account freeze applies.</t>
  </si>
  <si>
    <t>Implement TIN format validation across every jurisdiction you operate in.</t>
  </si>
  <si>
    <t>Validate structure and checksum, not just presence of a value.</t>
  </si>
  <si>
    <t>High</t>
  </si>
  <si>
    <t>Cross-check self-certifications against existing KYC/AML data for conflicting indicia.</t>
  </si>
  <si>
    <t>A documented 'reason to know' review process protects against strict liability for simple failures.</t>
  </si>
  <si>
    <t>Confirm your account-freeze mechanism actually blocks reportable transactions, not just new sign-ups.</t>
  </si>
  <si>
    <t>DAC8's freeze obligation applies to existing reportable activity, not only onboarding.</t>
  </si>
  <si>
    <t>RISK 02  —  Transaction Data Overload &amp; Accuracy</t>
  </si>
  <si>
    <t>Transaction Data Overload &amp; Accuracy</t>
  </si>
  <si>
    <t>Document a single, defensible FMV methodology and apply it consistently.</t>
  </si>
  <si>
    <t>Choose your reference price source (own order book, third-party aggregator, designated exchange) and write it down.</t>
  </si>
  <si>
    <t>Build FMV calculation logic for every crypto-to-crypto swap, not just crypto-to-fiat trades.</t>
  </si>
  <si>
    <t>Both legs of a swap must be valued independently and reconciled.</t>
  </si>
  <si>
    <t>Confirm your system can reconcile on-chain transaction data with off-chain customer records.</t>
  </si>
  <si>
    <t>Every blockchain hash must correctly link back to a real customer identity and a fiat valuation.</t>
  </si>
  <si>
    <t>Classify NFTs, stablecoins, and tokenized assets correctly per jurisdiction.</t>
  </si>
  <si>
    <t>Confirm de minimis thresholds for NFTs and check whether any stablecoin qualifies as a Specified Electronic Money Product under CRS 2.0.</t>
  </si>
  <si>
    <t>Test your CARF XML schema output against the OECD's latest published schema version.</t>
  </si>
  <si>
    <t>Confirm jurisdiction-specific schema variants (UK, EU/DAC8, Singapore transitional codes) are correctly generated.</t>
  </si>
  <si>
    <t>Stress-test your data pipeline against realistic transaction volumes.</t>
  </si>
  <si>
    <t>Crypto markets trade 24/7 — confirm your system does not degrade under continuous, high-frequency reporting loads.</t>
  </si>
  <si>
    <t>Medium</t>
  </si>
  <si>
    <t>RISK 03  —  Governance Silos — CARF / CRS / FATCA Overlap</t>
  </si>
  <si>
    <t>Governance Silos — CARF / CRS / FATCA Overlap</t>
  </si>
  <si>
    <t>Determine whether your institution is simultaneously an RFI under CRS and an RCASP under CARF.</t>
  </si>
  <si>
    <t>Dual status is common and must be explicitly mapped, not assumed away.</t>
  </si>
  <si>
    <t>Apply the OECD's overlap mitigation rules to prevent double-reporting the same client.</t>
  </si>
  <si>
    <t>A client holding both traditional and digital assets should not be reported twice with contradictory data.</t>
  </si>
  <si>
    <t>Assign a single, named owner for CARF compliance across tax, compliance, ops, and IT.</t>
  </si>
  <si>
    <t>Governance gaps surface late and usually under deadline pressure — fix ownership before that happens.</t>
  </si>
  <si>
    <t>Reconcile entity and user classification logic between your CRS and CARF systems.</t>
  </si>
  <si>
    <t>The same client should not be classified differently depending on which framework is applied.</t>
  </si>
  <si>
    <t>RISK 04  —  Timeline Pressure &amp; Scalability Failures</t>
  </si>
  <si>
    <t>Timeline Pressure &amp; Scalability Failures</t>
  </si>
  <si>
    <t>Confirm GDPR (or equivalent local privacy law) notification language is reconciled with CARF reporting obligations.</t>
  </si>
  <si>
    <t>Customers must be informed of reporting without implying it is optional or consent-based.</t>
  </si>
  <si>
    <t>Confirm a documented legal basis exists for retaining CARF data despite any erasure requests.</t>
  </si>
  <si>
    <t>A CARF reporting obligation generally overrides a GDPR right-to-erasure request — document why.</t>
  </si>
  <si>
    <t>Integrate AML/KYC data fields with CARF-required fields (TIN, tax residency) in one data model.</t>
  </si>
  <si>
    <t>Avoid maintaining two disconnected pools of customer data that must be reconciled by hand.</t>
  </si>
  <si>
    <t>Move from periodic batch monitoring to continuous, event-driven data processing.</t>
  </si>
  <si>
    <t>Self-certification deadlines and freeze triggers require real-time tracking, not quarterly review cycles.</t>
  </si>
  <si>
    <t>Confirm registration deadlines for every jurisdiction you operate in are tracked on a master compliance calendar.</t>
  </si>
  <si>
    <t>E.g. UK RCASPs must register with HMRC by January 1, 2027 — separate from the reporting deadline.</t>
  </si>
  <si>
    <t>RISK 05  —  Penalty, License &amp; Reputational Exposure</t>
  </si>
  <si>
    <t>Penalty, License &amp; Reputational Exposure</t>
  </si>
  <si>
    <t>Map your specific penalty exposure across every jurisdiction you operate in.</t>
  </si>
  <si>
    <t>DAC8: €20K–€500K per violation. UK: £100–£300 per customer, plus daily defaults. UAE: AED 20K–250K.</t>
  </si>
  <si>
    <t>Confirm an independent, third-party-reviewable audit trail exists for every classification and remediation decision.</t>
  </si>
  <si>
    <t>Documented evidence of consistent process is your strongest protection during an audit.</t>
  </si>
  <si>
    <t>Brief senior leadership and directors on personal liability exposure under severe non-compliance scenarios.</t>
  </si>
  <si>
    <t>Several regimes escalate beyond institutional fines to individual director liability.</t>
  </si>
  <si>
    <t>Confirm license-holding entities understand revocation risk under DAC8 and equivalent regimes.</t>
  </si>
  <si>
    <t>Market exclusion is a realistic consequence, not a theoretical one, for sustained non-compliance.</t>
  </si>
  <si>
    <t>RISK 06  —  Missed Change of Circumstances</t>
  </si>
  <si>
    <t>Missed Change of Circumstances</t>
  </si>
  <si>
    <t>Replace annual clean-up cycles with continuous changes-in-circumstances monitoring.</t>
  </si>
  <si>
    <t>CARF treats a delayed correction as a compliance breach for the period the wrong information was on file.</t>
  </si>
  <si>
    <t>Build automated detection for the five key change triggers.</t>
  </si>
  <si>
    <t>Tax residency change, new jurisdiction account, nationality change, controlling person update, account classification shift.</t>
  </si>
  <si>
    <t>Confirm corrective action timelines meet your fastest applicable jurisdiction's requirement.</t>
  </si>
  <si>
    <t>Do not default to your slowest jurisdiction's standard — apply the strictest rule across your full footprint.</t>
  </si>
  <si>
    <t>Maintain a continuous, timestamped audit trail proving when each change was detected and acted on.</t>
  </si>
  <si>
    <t>This evidence is what separates an honest, well-run remediation from an enforcement-triggering gap.</t>
  </si>
  <si>
    <t>BONUS — DEFI NEXUS SELF-CHECK</t>
  </si>
  <si>
    <t>Does anyone on your core team hold admin or upgrade keys to your protocol's smart contracts?</t>
  </si>
  <si>
    <t>Does your team or foundation manage the front-end interface or control user access?</t>
  </si>
  <si>
    <t>Does your team or foundation hold concentrated voting power in DAO governance?</t>
  </si>
  <si>
    <t>Does your protocol serve users resident in any CARF-committed jurisdiction, regardless of where your team is based?</t>
  </si>
  <si>
    <t>If you answered Yes to any of the above, the OECD's Control or Sufficient Influence (COSI) test likely places your protocol in scope as an RCASP. Contact: training@edudubai.org</t>
  </si>
  <si>
    <t xml:space="preserve">Edu-Dubai  ·  training@edudubai.org  ·  edudubai.org   </t>
  </si>
  <si>
    <t>Priority: Critical = blocks compliance / immediate penalty exposure   ·   High = significant operational risk   ·   Medium = important but lower urgency   |   Status: Mark X in one column only per row</t>
  </si>
  <si>
    <t>EDU-DUBAI  CARF 2026-27 READINESS DASHBOARD</t>
  </si>
  <si>
    <t>Progress across all 6 CARF Risk Zones — auto-updated from Checklist tab</t>
  </si>
  <si>
    <t>OVERALL READINESS SUMMARY</t>
  </si>
  <si>
    <t>Total Items</t>
  </si>
  <si>
    <t xml:space="preserve">Completed
(Yes)</t>
  </si>
  <si>
    <t xml:space="preserve">Not Started
(No)</t>
  </si>
  <si>
    <t>In Progress</t>
  </si>
  <si>
    <t>% Complete</t>
  </si>
  <si>
    <t>Outstanding</t>
  </si>
  <si>
    <t>PROGRESS BY RISK ZONE</t>
  </si>
  <si>
    <t xml:space="preserve">Total
Items</t>
  </si>
  <si>
    <t>01</t>
  </si>
  <si>
    <t>02</t>
  </si>
  <si>
    <t>03</t>
  </si>
  <si>
    <t>04</t>
  </si>
  <si>
    <t>05</t>
  </si>
  <si>
    <t>06</t>
  </si>
  <si>
    <t>COMPLETION BY PRIORITY</t>
  </si>
  <si>
    <t>Total</t>
  </si>
  <si>
    <r>
      <rPr>
        <b/>
        <charset val="134"/>
        <color rgb="FF85B7EB"/>
        <sz val="9"/>
        <rFont val="Arial"/>
      </rPr>
      <t xml:space="preserve">Mark X in the Yes / No / In Progress  — this dashboard updates automatically   |  </t>
    </r>
    <r>
      <rPr>
        <b/>
        <charset val="134"/>
        <color rgb="FFFFC000"/>
        <sz val="9"/>
        <rFont val="Arial"/>
      </rPr>
      <t xml:space="preserve"> EduDubai:  </t>
    </r>
    <r>
      <rPr>
        <charset val="134"/>
        <color rgb="FFFFC000"/>
        <sz val="9"/>
        <rFont val="Arial"/>
      </rPr>
      <t>training@edudubai.org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</si>
</sst>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color theme="1"/>
      <family val="2"/>
      <scheme val="minor"/>
      <sz val="11"/>
      <name val="Calibri"/>
    </font>
    <font>
      <b/>
      <charset val="1"/>
      <color rgb="FFFFFFFF"/>
      <sz val="16"/>
      <name val="Arial"/>
    </font>
    <font>
      <i/>
      <charset val="134"/>
      <color rgb="FFFFC000"/>
      <sz val="11"/>
      <name val="Arial"/>
    </font>
    <font>
      <charset val="1"/>
      <color rgb="FF85B7EB"/>
      <sz val="10"/>
      <name val="Arial"/>
    </font>
    <font>
      <i/>
      <charset val="1"/>
      <color rgb="FF334155"/>
      <sz val="9"/>
      <name val="Arial"/>
    </font>
    <font>
      <charset val="1"/>
      <color theme="1"/>
      <sz val="11"/>
      <name val="Calibri"/>
    </font>
    <font>
      <b/>
      <charset val="1"/>
      <color rgb="FFFFFFFF"/>
      <sz val="9"/>
      <name val="Arial"/>
    </font>
    <font>
      <b/>
      <charset val="1"/>
      <color rgb="FFFFFFFF"/>
      <sz val="10"/>
      <name val="Arial"/>
    </font>
    <font>
      <b/>
      <charset val="1"/>
      <color rgb="FFFFFFFF"/>
      <sz val="11"/>
      <name val="Arial"/>
    </font>
    <font>
      <charset val="1"/>
      <color rgb="FF6B7280"/>
      <sz val="9"/>
      <name val="Arial"/>
    </font>
    <font>
      <charset val="1"/>
      <color rgb="FF334155"/>
      <sz val="9"/>
      <name val="Arial"/>
    </font>
    <font>
      <b/>
      <charset val="1"/>
      <color rgb="FF0F172A"/>
      <sz val="10"/>
      <name val="Arial"/>
    </font>
    <font>
      <i/>
      <charset val="1"/>
      <color rgb="FF475569"/>
      <sz val="9"/>
      <name val="Arial"/>
    </font>
    <font>
      <b/>
      <charset val="1"/>
      <color rgb="FF791F1F"/>
      <sz val="9"/>
      <name val="Arial"/>
    </font>
    <font>
      <b/>
      <charset val="1"/>
      <color rgb="FF1D9E75"/>
      <sz val="12"/>
      <name val="Arial"/>
    </font>
    <font>
      <b/>
      <charset val="1"/>
      <color rgb="FFA32D2D"/>
      <sz val="12"/>
      <name val="Arial"/>
    </font>
    <font>
      <b/>
      <charset val="1"/>
      <color rgb="FFBA7517"/>
      <sz val="12"/>
      <name val="Arial"/>
    </font>
    <font>
      <charset val="1"/>
      <color rgb="FF0F172A"/>
      <sz val="10"/>
      <name val="Arial"/>
    </font>
    <font>
      <b/>
      <charset val="1"/>
      <color rgb="FF7A4E08"/>
      <sz val="9"/>
      <name val="Arial"/>
    </font>
    <font>
      <b/>
      <charset val="1"/>
      <color rgb="FF1F6B3F"/>
      <sz val="9"/>
      <name val="Arial"/>
    </font>
    <font>
      <charset val="134"/>
      <color rgb="FFFFC000"/>
      <sz val="9"/>
      <name val="Arial"/>
    </font>
    <font>
      <i/>
      <charset val="1"/>
      <color rgb="FF475569"/>
      <sz val="8"/>
      <name val="Arial"/>
    </font>
    <font>
      <b/>
      <charset val="134"/>
      <color rgb="FFFFC000"/>
      <sz val="16"/>
      <name val="Arial"/>
    </font>
    <font>
      <i/>
      <charset val="1"/>
      <color rgb="FFB5D4F4"/>
      <sz val="11"/>
      <name val="Arial"/>
    </font>
    <font>
      <b/>
      <charset val="1"/>
      <color rgb="FF1D9E75"/>
      <sz val="10"/>
      <name val="Arial"/>
    </font>
    <font>
      <b/>
      <charset val="1"/>
      <color rgb="FFA32D2D"/>
      <sz val="10"/>
      <name val="Arial"/>
    </font>
    <font>
      <b/>
      <charset val="1"/>
      <color rgb="FFBA7517"/>
      <sz val="10"/>
      <name val="Arial"/>
    </font>
    <font>
      <b/>
      <charset val="1"/>
      <color rgb="FF185FA5"/>
      <sz val="10"/>
      <name val="Arial"/>
    </font>
    <font>
      <b/>
      <charset val="1"/>
      <color rgb="FF0F172A"/>
      <sz val="14"/>
      <name val="Arial"/>
    </font>
    <font>
      <b/>
      <charset val="1"/>
      <color rgb="FF0F6E56"/>
      <sz val="14"/>
      <name val="Arial"/>
    </font>
    <font>
      <b/>
      <charset val="1"/>
      <color rgb="FFA32D2D"/>
      <sz val="14"/>
      <name val="Arial"/>
    </font>
    <font>
      <b/>
      <charset val="1"/>
      <color rgb="FFBA7517"/>
      <sz val="14"/>
      <name val="Arial"/>
    </font>
    <font>
      <b/>
      <charset val="1"/>
      <color rgb="FF185FA5"/>
      <sz val="14"/>
      <name val="Arial"/>
    </font>
    <font>
      <b/>
      <charset val="1"/>
      <color rgb="FF0F172A"/>
      <sz val="11"/>
      <name val="Arial"/>
    </font>
    <font>
      <b/>
      <charset val="1"/>
      <color rgb="FF0F6E56"/>
      <sz val="11"/>
      <name val="Arial"/>
    </font>
    <font>
      <b/>
      <charset val="1"/>
      <color rgb="FFA32D2D"/>
      <sz val="11"/>
      <name val="Arial"/>
    </font>
    <font>
      <b/>
      <charset val="1"/>
      <color rgb="FFBA7517"/>
      <sz val="11"/>
      <name val="Arial"/>
    </font>
    <font>
      <b/>
      <charset val="1"/>
      <color rgb="FF185FA5"/>
      <sz val="11"/>
      <name val="Arial"/>
    </font>
    <font>
      <b/>
      <charset val="1"/>
      <color rgb="FF791F1F"/>
      <sz val="10"/>
      <name val="Arial"/>
    </font>
    <font>
      <b/>
      <charset val="1"/>
      <color rgb="FF7A4E08"/>
      <sz val="10"/>
      <name val="Arial"/>
    </font>
    <font>
      <b/>
      <charset val="1"/>
      <color rgb="FF1F6B3F"/>
      <sz val="10"/>
      <name val="Arial"/>
    </font>
    <font>
      <b/>
      <charset val="134"/>
      <color rgb="FF85B7EB"/>
      <sz val="9"/>
      <name val="Arial"/>
    </font>
    <font>
      <b/>
      <charset val="1"/>
      <color rgb="FF85B7EB"/>
      <sz val="9"/>
      <name val="Arial"/>
    </font>
  </fonts>
  <fills count="20">
    <fill>
      <patternFill patternType="none"/>
    </fill>
    <fill>
      <patternFill patternType="gray125"/>
    </fill>
    <fill>
      <patternFill patternType="solid">
        <fgColor rgb="FF042C53"/>
        <bgColor rgb="FF0F172A"/>
      </patternFill>
    </fill>
    <fill>
      <patternFill patternType="solid">
        <fgColor rgb="FF0C447C"/>
        <bgColor rgb="FF042C53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A32D2D"/>
        <bgColor rgb="FF993556"/>
      </patternFill>
    </fill>
    <fill>
      <patternFill patternType="solid">
        <fgColor rgb="FFFCEBEB"/>
        <bgColor rgb="FFFBEAF0"/>
      </patternFill>
    </fill>
    <fill>
      <patternFill patternType="solid">
        <fgColor rgb="FFE2EFDA"/>
        <bgColor rgb="FFEAF3DE"/>
      </patternFill>
    </fill>
    <fill>
      <patternFill patternType="solid">
        <fgColor rgb="FFFFF2CC"/>
        <bgColor rgb="FFFCEBEB"/>
      </patternFill>
    </fill>
    <fill>
      <patternFill patternType="solid">
        <fgColor rgb="FFBA7517"/>
        <bgColor rgb="FFFF6600"/>
      </patternFill>
    </fill>
    <fill>
      <patternFill patternType="solid">
        <fgColor rgb="FF534AB7"/>
        <bgColor rgb="FF475569"/>
      </patternFill>
    </fill>
    <fill>
      <patternFill patternType="solid">
        <fgColor rgb="FFEEEDFE"/>
        <bgColor rgb="FFE6F1FB"/>
      </patternFill>
    </fill>
    <fill>
      <patternFill patternType="solid">
        <fgColor rgb="FF185FA5"/>
        <bgColor rgb="FF0C447C"/>
      </patternFill>
    </fill>
    <fill>
      <patternFill patternType="solid">
        <fgColor rgb="FFE6F1FB"/>
        <bgColor rgb="FFEEEDFE"/>
      </patternFill>
    </fill>
    <fill>
      <patternFill patternType="solid">
        <fgColor rgb="FF993556"/>
        <bgColor rgb="FFA32D2D"/>
      </patternFill>
    </fill>
    <fill>
      <patternFill patternType="solid">
        <fgColor rgb="FFFBEAF0"/>
        <bgColor rgb="FFFCEBEB"/>
      </patternFill>
    </fill>
    <fill>
      <patternFill patternType="solid">
        <fgColor rgb="FF3B6D11"/>
        <bgColor rgb="FF1F6B3F"/>
      </patternFill>
    </fill>
    <fill>
      <patternFill patternType="solid">
        <fgColor rgb="FFEAF3DE"/>
        <bgColor rgb="FFE2EFDA"/>
      </patternFill>
    </fill>
    <fill>
      <patternFill patternType="solid">
        <fgColor rgb="FFF2F2F2"/>
        <bgColor rgb="FFEEEDFE"/>
      </patternFill>
    </fill>
  </fills>
  <borders count="4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medium">
        <color rgb="FF9CA3AF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 style="medium">
        <color rgb="FF9CA3AF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 wrapText="1"/>
      <protection locked="0"/>
    </xf>
    <xf numFmtId="0" fontId="5" fillId="5" borderId="0" xfId="0" applyFont="1" applyFill="1"/>
    <xf numFmtId="0" fontId="6" fillId="2" borderId="0" xfId="0" applyFont="1" applyFill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left" vertical="center"/>
      <protection locked="0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10" fillId="7" borderId="1" xfId="0" applyFont="1" applyFill="1" applyBorder="1" applyAlignment="1" applyProtection="1">
      <alignment horizontal="left" vertical="top" wrapText="1"/>
      <protection locked="0"/>
    </xf>
    <xf numFmtId="0" fontId="11" fillId="5" borderId="1" xfId="0" applyFont="1" applyFill="1" applyBorder="1" applyAlignment="1" applyProtection="1">
      <alignment horizontal="left" vertical="top" wrapText="1"/>
      <protection locked="0"/>
    </xf>
    <xf numFmtId="0" fontId="12" fillId="5" borderId="1" xfId="0" applyFont="1" applyFill="1" applyBorder="1" applyAlignment="1" applyProtection="1">
      <alignment horizontal="left" vertical="top" wrapText="1"/>
      <protection locked="0"/>
    </xf>
    <xf numFmtId="0" fontId="13" fillId="7" borderId="1" xfId="0" applyFont="1" applyFill="1" applyBorder="1" applyAlignment="1" applyProtection="1">
      <alignment horizontal="center" vertical="center"/>
      <protection locked="0"/>
    </xf>
    <xf numFmtId="0" fontId="14" fillId="8" borderId="2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left" vertical="top" wrapText="1"/>
      <protection locked="0"/>
    </xf>
    <xf numFmtId="0" fontId="12" fillId="4" borderId="1" xfId="0" applyFont="1" applyFill="1" applyBorder="1" applyAlignment="1" applyProtection="1">
      <alignment horizontal="left" vertical="top" wrapText="1"/>
      <protection locked="0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 applyProtection="1">
      <alignment horizontal="center" vertical="center"/>
      <protection locked="0"/>
    </xf>
    <xf numFmtId="0" fontId="8" fillId="10" borderId="0" xfId="0" applyFont="1" applyFill="1" applyAlignment="1" applyProtection="1">
      <alignment horizontal="left" vertical="center"/>
      <protection locked="0"/>
    </xf>
    <xf numFmtId="0" fontId="10" fillId="9" borderId="1" xfId="0" applyFont="1" applyFill="1" applyBorder="1" applyAlignment="1" applyProtection="1">
      <alignment horizontal="left" vertical="top" wrapText="1"/>
      <protection locked="0"/>
    </xf>
    <xf numFmtId="0" fontId="19" fillId="8" borderId="1" xfId="0" applyFont="1" applyFill="1" applyBorder="1" applyAlignment="1" applyProtection="1">
      <alignment horizontal="center" vertical="center"/>
      <protection locked="0"/>
    </xf>
    <xf numFmtId="0" fontId="8" fillId="11" borderId="0" xfId="0" applyFont="1" applyFill="1" applyAlignment="1" applyProtection="1">
      <alignment horizontal="left" vertical="center"/>
      <protection locked="0"/>
    </xf>
    <xf numFmtId="0" fontId="10" fillId="12" borderId="1" xfId="0" applyFont="1" applyFill="1" applyBorder="1" applyAlignment="1" applyProtection="1">
      <alignment horizontal="left" vertical="top" wrapText="1"/>
      <protection locked="0"/>
    </xf>
    <xf numFmtId="0" fontId="8" fillId="13" borderId="0" xfId="0" applyFont="1" applyFill="1" applyAlignment="1" applyProtection="1">
      <alignment horizontal="left" vertical="center"/>
      <protection locked="0"/>
    </xf>
    <xf numFmtId="0" fontId="10" fillId="14" borderId="1" xfId="0" applyFont="1" applyFill="1" applyBorder="1" applyAlignment="1" applyProtection="1">
      <alignment horizontal="left" vertical="top" wrapText="1"/>
      <protection locked="0"/>
    </xf>
    <xf numFmtId="0" fontId="8" fillId="15" borderId="0" xfId="0" applyFont="1" applyFill="1" applyAlignment="1" applyProtection="1">
      <alignment horizontal="left" vertical="center"/>
      <protection locked="0"/>
    </xf>
    <xf numFmtId="0" fontId="10" fillId="16" borderId="1" xfId="0" applyFont="1" applyFill="1" applyBorder="1" applyAlignment="1" applyProtection="1">
      <alignment horizontal="left" vertical="top" wrapText="1"/>
      <protection locked="0"/>
    </xf>
    <xf numFmtId="0" fontId="8" fillId="17" borderId="0" xfId="0" applyFont="1" applyFill="1" applyAlignment="1" applyProtection="1">
      <alignment horizontal="left" vertical="center"/>
      <protection locked="0"/>
    </xf>
    <xf numFmtId="0" fontId="10" fillId="18" borderId="1" xfId="0" applyFont="1" applyFill="1" applyBorder="1" applyAlignment="1" applyProtection="1">
      <alignment horizontal="left" vertical="top" wrapText="1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17" fillId="5" borderId="1" xfId="0" applyFont="1" applyFill="1" applyBorder="1" applyAlignment="1" applyProtection="1">
      <alignment horizontal="left" vertical="top" wrapText="1"/>
      <protection locked="0"/>
    </xf>
    <xf numFmtId="0" fontId="14" fillId="8" borderId="1" xfId="0" applyFont="1" applyFill="1" applyBorder="1" applyAlignment="1">
      <alignment horizontal="center" vertical="center"/>
    </xf>
    <xf numFmtId="0" fontId="5" fillId="4" borderId="0" xfId="0" applyFont="1" applyFill="1"/>
    <xf numFmtId="0" fontId="17" fillId="4" borderId="1" xfId="0" applyFont="1" applyFill="1" applyBorder="1" applyAlignment="1" applyProtection="1">
      <alignment horizontal="left" vertical="top" wrapText="1"/>
      <protection locked="0"/>
    </xf>
    <xf numFmtId="0" fontId="4" fillId="14" borderId="0" xfId="0" applyFont="1" applyFill="1" applyAlignment="1" applyProtection="1">
      <alignment horizontal="left" vertical="center" wrapText="1"/>
      <protection locked="0"/>
    </xf>
    <xf numFmtId="0" fontId="20" fillId="2" borderId="0" xfId="0" applyFont="1" applyFill="1" applyAlignment="1" applyProtection="1">
      <alignment horizontal="center" vertical="center"/>
    </xf>
    <xf numFmtId="0" fontId="21" fillId="4" borderId="0" xfId="0" applyFont="1" applyFill="1" applyAlignment="1" applyProtection="1">
      <alignment horizontal="left" vertical="center" wrapText="1"/>
      <protection locked="0"/>
    </xf>
    <xf numFmtId="0" fontId="22" fillId="2" borderId="0" xfId="0" applyFont="1" applyFill="1" applyAlignment="1" applyProtection="1">
      <alignment vertical="center"/>
    </xf>
    <xf numFmtId="0" fontId="22" fillId="2" borderId="0" xfId="0" applyFont="1" applyFill="1" applyAlignment="1" applyProtection="1">
      <alignment horizontal="center" vertical="center"/>
      <protection locked="0"/>
    </xf>
    <xf numFmtId="0" fontId="23" fillId="3" borderId="0" xfId="0" applyFont="1" applyFill="1" applyAlignment="1" applyProtection="1">
      <alignment horizontal="center" vertical="center"/>
      <protection locked="0"/>
    </xf>
    <xf numFmtId="0" fontId="11" fillId="19" borderId="1" xfId="0" applyFont="1" applyFill="1" applyBorder="1" applyAlignment="1" applyProtection="1">
      <alignment horizontal="center" vertical="center" wrapText="1"/>
      <protection locked="0"/>
    </xf>
    <xf numFmtId="0" fontId="24" fillId="8" borderId="1" xfId="0" applyFont="1" applyFill="1" applyBorder="1" applyAlignment="1" applyProtection="1">
      <alignment horizontal="center" vertical="center" wrapText="1"/>
      <protection locked="0"/>
    </xf>
    <xf numFmtId="0" fontId="25" fillId="7" borderId="1" xfId="0" applyFont="1" applyFill="1" applyBorder="1" applyAlignment="1" applyProtection="1">
      <alignment horizontal="center" vertical="center" wrapText="1"/>
      <protection locked="0"/>
    </xf>
    <xf numFmtId="0" fontId="26" fillId="9" borderId="1" xfId="0" applyFont="1" applyFill="1" applyBorder="1" applyAlignment="1" applyProtection="1">
      <alignment horizontal="center" vertical="center" wrapText="1"/>
      <protection locked="0"/>
    </xf>
    <xf numFmtId="0" fontId="27" fillId="14" borderId="1" xfId="0" applyFont="1" applyFill="1" applyBorder="1" applyAlignment="1" applyProtection="1">
      <alignment horizontal="center" vertical="center" wrapText="1"/>
      <protection locked="0"/>
    </xf>
    <xf numFmtId="0" fontId="28" fillId="5" borderId="1" xfId="0" applyFont="1" applyFill="1" applyBorder="1" applyAlignment="1" applyProtection="1">
      <alignment horizontal="center" vertical="center"/>
      <protection locked="0"/>
    </xf>
    <xf numFmtId="0" fontId="29" fillId="8" borderId="1" xfId="0" applyFont="1" applyFill="1" applyBorder="1" applyAlignment="1" applyProtection="1">
      <alignment horizontal="center" vertical="center"/>
      <protection locked="0"/>
    </xf>
    <xf numFmtId="0" fontId="30" fillId="7" borderId="1" xfId="0" applyFont="1" applyFill="1" applyBorder="1" applyAlignment="1" applyProtection="1">
      <alignment horizontal="center" vertical="center"/>
      <protection locked="0"/>
    </xf>
    <xf numFmtId="0" fontId="31" fillId="9" borderId="1" xfId="0" applyFont="1" applyFill="1" applyBorder="1" applyAlignment="1" applyProtection="1">
      <alignment horizontal="center" vertical="center"/>
      <protection locked="0"/>
    </xf>
    <xf numFmtId="9" fontId="32" fillId="14" borderId="1" xfId="0" applyNumberFormat="1" applyFont="1" applyFill="1" applyBorder="1" applyAlignment="1" applyProtection="1">
      <alignment horizontal="center" vertical="center"/>
      <protection locked="0"/>
    </xf>
    <xf numFmtId="0" fontId="28" fillId="19" borderId="1" xfId="0" applyFont="1" applyFill="1" applyBorder="1" applyAlignment="1" applyProtection="1">
      <alignment horizontal="center" vertical="center"/>
      <protection locked="0"/>
    </xf>
    <xf numFmtId="0" fontId="7" fillId="6" borderId="1" xfId="0" applyFont="1" applyFill="1" applyBorder="1" applyAlignment="1" applyProtection="1">
      <alignment horizontal="center" vertical="center"/>
      <protection locked="0"/>
    </xf>
    <xf numFmtId="0" fontId="17" fillId="7" borderId="1" xfId="0" applyFont="1" applyFill="1" applyBorder="1" applyAlignment="1" applyProtection="1">
      <alignment horizontal="left" vertical="center" wrapText="1"/>
      <protection locked="0"/>
    </xf>
    <xf numFmtId="0" fontId="33" fillId="5" borderId="1" xfId="0" applyFont="1" applyFill="1" applyBorder="1" applyAlignment="1" applyProtection="1">
      <alignment horizontal="center" vertical="center"/>
      <protection locked="0"/>
    </xf>
    <xf numFmtId="0" fontId="34" fillId="8" borderId="1" xfId="0" applyFont="1" applyFill="1" applyBorder="1" applyAlignment="1" applyProtection="1">
      <alignment horizontal="center" vertical="center"/>
      <protection locked="0"/>
    </xf>
    <xf numFmtId="0" fontId="35" fillId="7" borderId="1" xfId="0" applyFont="1" applyFill="1" applyBorder="1" applyAlignment="1" applyProtection="1">
      <alignment horizontal="center" vertical="center"/>
      <protection locked="0"/>
    </xf>
    <xf numFmtId="0" fontId="36" fillId="9" borderId="1" xfId="0" applyFont="1" applyFill="1" applyBorder="1" applyAlignment="1" applyProtection="1">
      <alignment horizontal="center" vertical="center"/>
      <protection locked="0"/>
    </xf>
    <xf numFmtId="9" fontId="37" fillId="14" borderId="1" xfId="0" applyNumberFormat="1" applyFont="1" applyFill="1" applyBorder="1" applyAlignment="1" applyProtection="1">
      <alignment horizontal="center" vertical="center"/>
      <protection locked="0"/>
    </xf>
    <xf numFmtId="0" fontId="7" fillId="10" borderId="1" xfId="0" applyFont="1" applyFill="1" applyBorder="1" applyAlignment="1" applyProtection="1">
      <alignment horizontal="center" vertical="center"/>
      <protection locked="0"/>
    </xf>
    <xf numFmtId="0" fontId="17" fillId="9" borderId="1" xfId="0" applyFont="1" applyFill="1" applyBorder="1" applyAlignment="1" applyProtection="1">
      <alignment horizontal="left" vertical="center" wrapText="1"/>
      <protection locked="0"/>
    </xf>
    <xf numFmtId="0" fontId="33" fillId="4" borderId="1" xfId="0" applyFont="1" applyFill="1" applyBorder="1" applyAlignment="1" applyProtection="1">
      <alignment horizontal="center" vertical="center"/>
      <protection locked="0"/>
    </xf>
    <xf numFmtId="0" fontId="7" fillId="11" borderId="1" xfId="0" applyFont="1" applyFill="1" applyBorder="1" applyAlignment="1" applyProtection="1">
      <alignment horizontal="center" vertical="center"/>
      <protection locked="0"/>
    </xf>
    <xf numFmtId="0" fontId="17" fillId="12" borderId="1" xfId="0" applyFont="1" applyFill="1" applyBorder="1" applyAlignment="1" applyProtection="1">
      <alignment horizontal="left" vertical="center" wrapText="1"/>
      <protection locked="0"/>
    </xf>
    <xf numFmtId="0" fontId="7" fillId="13" borderId="1" xfId="0" applyFont="1" applyFill="1" applyBorder="1" applyAlignment="1" applyProtection="1">
      <alignment horizontal="center" vertical="center"/>
      <protection locked="0"/>
    </xf>
    <xf numFmtId="0" fontId="17" fillId="14" borderId="1" xfId="0" applyFont="1" applyFill="1" applyBorder="1" applyAlignment="1" applyProtection="1">
      <alignment horizontal="left" vertical="center" wrapText="1"/>
      <protection locked="0"/>
    </xf>
    <xf numFmtId="0" fontId="7" fillId="15" borderId="1" xfId="0" applyFont="1" applyFill="1" applyBorder="1" applyAlignment="1" applyProtection="1">
      <alignment horizontal="center" vertical="center"/>
      <protection locked="0"/>
    </xf>
    <xf numFmtId="0" fontId="17" fillId="16" borderId="1" xfId="0" applyFont="1" applyFill="1" applyBorder="1" applyAlignment="1" applyProtection="1">
      <alignment horizontal="left" vertical="center" wrapText="1"/>
      <protection locked="0"/>
    </xf>
    <xf numFmtId="0" fontId="7" fillId="17" borderId="1" xfId="0" applyFont="1" applyFill="1" applyBorder="1" applyAlignment="1" applyProtection="1">
      <alignment horizontal="center" vertical="center"/>
      <protection locked="0"/>
    </xf>
    <xf numFmtId="0" fontId="17" fillId="18" borderId="1" xfId="0" applyFont="1" applyFill="1" applyBorder="1" applyAlignment="1" applyProtection="1">
      <alignment horizontal="left" vertical="center" wrapText="1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38" fillId="7" borderId="1" xfId="0" applyFont="1" applyFill="1" applyBorder="1" applyAlignment="1" applyProtection="1">
      <alignment horizontal="center" vertical="center"/>
      <protection locked="0"/>
    </xf>
    <xf numFmtId="0" fontId="39" fillId="9" borderId="1" xfId="0" applyFont="1" applyFill="1" applyBorder="1" applyAlignment="1" applyProtection="1">
      <alignment horizontal="center" vertical="center"/>
      <protection locked="0"/>
    </xf>
    <xf numFmtId="0" fontId="40" fillId="8" borderId="1" xfId="0" applyFont="1" applyFill="1" applyBorder="1" applyAlignment="1" applyProtection="1">
      <alignment horizontal="center" vertical="center"/>
      <protection locked="0"/>
    </xf>
    <xf numFmtId="0" fontId="41" fillId="2" borderId="0" xfId="0" applyFont="1" applyFill="1" applyAlignment="1" applyProtection="1">
      <alignment horizontal="center" vertical="center"/>
    </xf>
    <xf numFmtId="0" fontId="42" fillId="2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2"/>
  <sheetViews>
    <sheetView workbookViewId="0" showGridLines="0" zoomScale="100" zoomScaleNormal="100">
      <selection activeCell="A2" sqref="A2"/>
    </sheetView>
  </sheetViews>
  <sheetFormatPr defaultRowHeight="16.8" outlineLevelRow="0" outlineLevelCol="0" x14ac:dyDescent="0" defaultColWidth="8.6328125" customHeight="1"/>
  <cols>
    <col min="1" max="1" width="20.1796875" customWidth="1"/>
    <col min="2" max="2" width="22" customWidth="1"/>
    <col min="3" max="3" width="44" customWidth="1"/>
    <col min="4" max="4" width="40" customWidth="1"/>
    <col min="5" max="5" width="11" customWidth="1"/>
    <col min="6" max="7" width="7" customWidth="1"/>
    <col min="8" max="8" width="13" customWidth="1"/>
    <col min="9" max="9" width="18" customWidth="1"/>
    <col min="10" max="10" width="14" customWidth="1"/>
    <col min="11" max="11" width="24" customWidth="1"/>
  </cols>
  <sheetData>
    <row r="1" ht="4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1.75" customHeight="1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18" customHeight="1" spans="1:11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21.75" customHeight="1" spans="1:11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ht="15.75" customHeight="1" spans="1:11" x14ac:dyDescent="0.25">
      <c r="A6" s="6"/>
      <c r="B6" s="6"/>
      <c r="C6" s="6"/>
      <c r="D6" s="6"/>
      <c r="E6" s="6"/>
      <c r="F6" s="7" t="s">
        <v>5</v>
      </c>
      <c r="G6" s="7"/>
      <c r="H6" s="7"/>
      <c r="I6" s="6"/>
      <c r="J6" s="6"/>
      <c r="K6" s="6"/>
    </row>
    <row r="7" ht="27.75" customHeight="1" spans="1:11" x14ac:dyDescent="0.25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</row>
    <row r="8" ht="21.75" customHeight="1" spans="1:11" x14ac:dyDescent="0.25">
      <c r="A8" s="9" t="s">
        <v>17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ht="42" customHeight="1" spans="1:11" x14ac:dyDescent="0.25">
      <c r="A9" s="10">
        <v>1</v>
      </c>
      <c r="B9" s="11" t="s">
        <v>18</v>
      </c>
      <c r="C9" s="12" t="s">
        <v>19</v>
      </c>
      <c r="D9" s="13" t="s">
        <v>20</v>
      </c>
      <c r="E9" s="14" t="s">
        <v>21</v>
      </c>
      <c r="F9" s="15"/>
      <c r="G9" s="16"/>
      <c r="H9" s="17"/>
      <c r="I9" s="18"/>
      <c r="J9" s="18"/>
      <c r="K9" s="19"/>
    </row>
    <row r="10" ht="42" customHeight="1" spans="1:11" x14ac:dyDescent="0.25">
      <c r="A10" s="20">
        <v>2</v>
      </c>
      <c r="B10" s="11" t="s">
        <v>18</v>
      </c>
      <c r="C10" s="21" t="s">
        <v>22</v>
      </c>
      <c r="D10" s="22" t="s">
        <v>23</v>
      </c>
      <c r="E10" s="14" t="s">
        <v>21</v>
      </c>
      <c r="F10" s="15"/>
      <c r="G10" s="16"/>
      <c r="H10" s="17"/>
      <c r="I10" s="23"/>
      <c r="J10" s="23"/>
      <c r="K10" s="24"/>
    </row>
    <row r="11" ht="42" customHeight="1" spans="1:11" x14ac:dyDescent="0.25">
      <c r="A11" s="10">
        <v>3</v>
      </c>
      <c r="B11" s="11" t="s">
        <v>18</v>
      </c>
      <c r="C11" s="12" t="s">
        <v>24</v>
      </c>
      <c r="D11" s="13" t="s">
        <v>25</v>
      </c>
      <c r="E11" s="14" t="s">
        <v>21</v>
      </c>
      <c r="F11" s="15"/>
      <c r="G11" s="16"/>
      <c r="H11" s="17"/>
      <c r="I11" s="18"/>
      <c r="J11" s="18"/>
      <c r="K11" s="19"/>
    </row>
    <row r="12" ht="42" customHeight="1" spans="1:11" x14ac:dyDescent="0.25">
      <c r="A12" s="20">
        <v>4</v>
      </c>
      <c r="B12" s="11" t="s">
        <v>18</v>
      </c>
      <c r="C12" s="21" t="s">
        <v>26</v>
      </c>
      <c r="D12" s="22" t="s">
        <v>27</v>
      </c>
      <c r="E12" s="25" t="s">
        <v>28</v>
      </c>
      <c r="F12" s="15"/>
      <c r="G12" s="16"/>
      <c r="H12" s="17"/>
      <c r="I12" s="23"/>
      <c r="J12" s="23"/>
      <c r="K12" s="24"/>
    </row>
    <row r="13" ht="42" customHeight="1" spans="1:11" x14ac:dyDescent="0.25">
      <c r="A13" s="10">
        <v>5</v>
      </c>
      <c r="B13" s="11" t="s">
        <v>18</v>
      </c>
      <c r="C13" s="12" t="s">
        <v>29</v>
      </c>
      <c r="D13" s="13" t="s">
        <v>30</v>
      </c>
      <c r="E13" s="25" t="s">
        <v>28</v>
      </c>
      <c r="F13" s="15"/>
      <c r="G13" s="16"/>
      <c r="H13" s="17"/>
      <c r="I13" s="18"/>
      <c r="J13" s="18"/>
      <c r="K13" s="19"/>
    </row>
    <row r="14" ht="42" customHeight="1" spans="1:11" x14ac:dyDescent="0.25">
      <c r="A14" s="20">
        <v>6</v>
      </c>
      <c r="B14" s="11" t="s">
        <v>18</v>
      </c>
      <c r="C14" s="21" t="s">
        <v>31</v>
      </c>
      <c r="D14" s="22" t="s">
        <v>32</v>
      </c>
      <c r="E14" s="25" t="s">
        <v>28</v>
      </c>
      <c r="F14" s="15"/>
      <c r="G14" s="16"/>
      <c r="H14" s="17"/>
      <c r="I14" s="23"/>
      <c r="J14" s="23"/>
      <c r="K14" s="24"/>
    </row>
    <row r="15" ht="21.75" customHeight="1" spans="1:11" x14ac:dyDescent="0.25">
      <c r="A15" s="26" t="s">
        <v>33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ht="42" customHeight="1" spans="1:11" x14ac:dyDescent="0.25">
      <c r="A16" s="10">
        <v>7</v>
      </c>
      <c r="B16" s="27" t="s">
        <v>34</v>
      </c>
      <c r="C16" s="12" t="s">
        <v>35</v>
      </c>
      <c r="D16" s="13" t="s">
        <v>36</v>
      </c>
      <c r="E16" s="14" t="s">
        <v>21</v>
      </c>
      <c r="F16" s="15"/>
      <c r="G16" s="16"/>
      <c r="H16" s="17"/>
      <c r="I16" s="18"/>
      <c r="J16" s="18"/>
      <c r="K16" s="19"/>
    </row>
    <row r="17" ht="42" customHeight="1" spans="1:11" x14ac:dyDescent="0.25">
      <c r="A17" s="20">
        <v>8</v>
      </c>
      <c r="B17" s="27" t="s">
        <v>34</v>
      </c>
      <c r="C17" s="21" t="s">
        <v>37</v>
      </c>
      <c r="D17" s="22" t="s">
        <v>38</v>
      </c>
      <c r="E17" s="14" t="s">
        <v>21</v>
      </c>
      <c r="F17" s="15"/>
      <c r="G17" s="16"/>
      <c r="H17" s="17"/>
      <c r="I17" s="23"/>
      <c r="J17" s="23"/>
      <c r="K17" s="24"/>
    </row>
    <row r="18" ht="42" customHeight="1" spans="1:11" x14ac:dyDescent="0.25">
      <c r="A18" s="10">
        <v>9</v>
      </c>
      <c r="B18" s="27" t="s">
        <v>34</v>
      </c>
      <c r="C18" s="12" t="s">
        <v>39</v>
      </c>
      <c r="D18" s="13" t="s">
        <v>40</v>
      </c>
      <c r="E18" s="25" t="s">
        <v>28</v>
      </c>
      <c r="F18" s="15"/>
      <c r="G18" s="16"/>
      <c r="H18" s="17"/>
      <c r="I18" s="18"/>
      <c r="J18" s="18"/>
      <c r="K18" s="19"/>
    </row>
    <row r="19" ht="42" customHeight="1" spans="1:11" x14ac:dyDescent="0.25">
      <c r="A19" s="20">
        <v>10</v>
      </c>
      <c r="B19" s="27" t="s">
        <v>34</v>
      </c>
      <c r="C19" s="21" t="s">
        <v>41</v>
      </c>
      <c r="D19" s="22" t="s">
        <v>42</v>
      </c>
      <c r="E19" s="25" t="s">
        <v>28</v>
      </c>
      <c r="F19" s="15"/>
      <c r="G19" s="16"/>
      <c r="H19" s="17"/>
      <c r="I19" s="23"/>
      <c r="J19" s="23"/>
      <c r="K19" s="24"/>
    </row>
    <row r="20" ht="42" customHeight="1" spans="1:11" x14ac:dyDescent="0.25">
      <c r="A20" s="10">
        <v>11</v>
      </c>
      <c r="B20" s="27" t="s">
        <v>34</v>
      </c>
      <c r="C20" s="12" t="s">
        <v>43</v>
      </c>
      <c r="D20" s="13" t="s">
        <v>44</v>
      </c>
      <c r="E20" s="25" t="s">
        <v>28</v>
      </c>
      <c r="F20" s="15"/>
      <c r="G20" s="16"/>
      <c r="H20" s="17"/>
      <c r="I20" s="18"/>
      <c r="J20" s="18"/>
      <c r="K20" s="19"/>
    </row>
    <row r="21" ht="42" customHeight="1" spans="1:11" x14ac:dyDescent="0.25">
      <c r="A21" s="20">
        <v>12</v>
      </c>
      <c r="B21" s="27" t="s">
        <v>34</v>
      </c>
      <c r="C21" s="21" t="s">
        <v>45</v>
      </c>
      <c r="D21" s="22" t="s">
        <v>46</v>
      </c>
      <c r="E21" s="28" t="s">
        <v>47</v>
      </c>
      <c r="F21" s="15"/>
      <c r="G21" s="16"/>
      <c r="H21" s="17"/>
      <c r="I21" s="23"/>
      <c r="J21" s="23"/>
      <c r="K21" s="24"/>
    </row>
    <row r="22" ht="21.75" customHeight="1" spans="1:11" x14ac:dyDescent="0.25">
      <c r="A22" s="29" t="s">
        <v>48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ht="42" customHeight="1" spans="1:11" x14ac:dyDescent="0.25">
      <c r="A23" s="10">
        <v>13</v>
      </c>
      <c r="B23" s="30" t="s">
        <v>49</v>
      </c>
      <c r="C23" s="12" t="s">
        <v>50</v>
      </c>
      <c r="D23" s="13" t="s">
        <v>51</v>
      </c>
      <c r="E23" s="14" t="s">
        <v>21</v>
      </c>
      <c r="F23" s="15"/>
      <c r="G23" s="16"/>
      <c r="H23" s="17"/>
      <c r="I23" s="18"/>
      <c r="J23" s="18"/>
      <c r="K23" s="19"/>
    </row>
    <row r="24" ht="42" customHeight="1" spans="1:11" x14ac:dyDescent="0.25">
      <c r="A24" s="20">
        <v>14</v>
      </c>
      <c r="B24" s="30" t="s">
        <v>49</v>
      </c>
      <c r="C24" s="21" t="s">
        <v>52</v>
      </c>
      <c r="D24" s="22" t="s">
        <v>53</v>
      </c>
      <c r="E24" s="14" t="s">
        <v>21</v>
      </c>
      <c r="F24" s="15"/>
      <c r="G24" s="16"/>
      <c r="H24" s="17"/>
      <c r="I24" s="23"/>
      <c r="J24" s="23"/>
      <c r="K24" s="24"/>
    </row>
    <row r="25" ht="42" customHeight="1" spans="1:11" x14ac:dyDescent="0.25">
      <c r="A25" s="10">
        <v>15</v>
      </c>
      <c r="B25" s="30" t="s">
        <v>49</v>
      </c>
      <c r="C25" s="12" t="s">
        <v>54</v>
      </c>
      <c r="D25" s="13" t="s">
        <v>55</v>
      </c>
      <c r="E25" s="25" t="s">
        <v>28</v>
      </c>
      <c r="F25" s="15"/>
      <c r="G25" s="16"/>
      <c r="H25" s="17"/>
      <c r="I25" s="18"/>
      <c r="J25" s="18"/>
      <c r="K25" s="19"/>
    </row>
    <row r="26" ht="42" customHeight="1" spans="1:11" x14ac:dyDescent="0.25">
      <c r="A26" s="20">
        <v>16</v>
      </c>
      <c r="B26" s="30" t="s">
        <v>49</v>
      </c>
      <c r="C26" s="21" t="s">
        <v>56</v>
      </c>
      <c r="D26" s="22" t="s">
        <v>57</v>
      </c>
      <c r="E26" s="28" t="s">
        <v>47</v>
      </c>
      <c r="F26" s="15"/>
      <c r="G26" s="16"/>
      <c r="H26" s="17"/>
      <c r="I26" s="23"/>
      <c r="J26" s="23"/>
      <c r="K26" s="24"/>
    </row>
    <row r="27" ht="21.75" customHeight="1" spans="1:11" x14ac:dyDescent="0.25">
      <c r="A27" s="31" t="s">
        <v>58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 ht="42" customHeight="1" spans="1:11" x14ac:dyDescent="0.25">
      <c r="A28" s="10">
        <v>17</v>
      </c>
      <c r="B28" s="32" t="s">
        <v>59</v>
      </c>
      <c r="C28" s="12" t="s">
        <v>60</v>
      </c>
      <c r="D28" s="13" t="s">
        <v>61</v>
      </c>
      <c r="E28" s="14" t="s">
        <v>21</v>
      </c>
      <c r="F28" s="15"/>
      <c r="G28" s="16"/>
      <c r="H28" s="17"/>
      <c r="I28" s="18"/>
      <c r="J28" s="18"/>
      <c r="K28" s="19"/>
    </row>
    <row r="29" ht="42" customHeight="1" spans="1:11" x14ac:dyDescent="0.25">
      <c r="A29" s="20">
        <v>18</v>
      </c>
      <c r="B29" s="32" t="s">
        <v>59</v>
      </c>
      <c r="C29" s="21" t="s">
        <v>62</v>
      </c>
      <c r="D29" s="22" t="s">
        <v>63</v>
      </c>
      <c r="E29" s="25" t="s">
        <v>28</v>
      </c>
      <c r="F29" s="15"/>
      <c r="G29" s="16"/>
      <c r="H29" s="17"/>
      <c r="I29" s="23"/>
      <c r="J29" s="23"/>
      <c r="K29" s="24"/>
    </row>
    <row r="30" ht="42" customHeight="1" spans="1:11" x14ac:dyDescent="0.25">
      <c r="A30" s="10">
        <v>19</v>
      </c>
      <c r="B30" s="32" t="s">
        <v>59</v>
      </c>
      <c r="C30" s="12" t="s">
        <v>64</v>
      </c>
      <c r="D30" s="13" t="s">
        <v>65</v>
      </c>
      <c r="E30" s="25" t="s">
        <v>28</v>
      </c>
      <c r="F30" s="15"/>
      <c r="G30" s="16"/>
      <c r="H30" s="17"/>
      <c r="I30" s="18"/>
      <c r="J30" s="18"/>
      <c r="K30" s="19"/>
    </row>
    <row r="31" ht="42" customHeight="1" spans="1:11" x14ac:dyDescent="0.25">
      <c r="A31" s="20">
        <v>20</v>
      </c>
      <c r="B31" s="32" t="s">
        <v>59</v>
      </c>
      <c r="C31" s="21" t="s">
        <v>66</v>
      </c>
      <c r="D31" s="22" t="s">
        <v>67</v>
      </c>
      <c r="E31" s="28" t="s">
        <v>47</v>
      </c>
      <c r="F31" s="15"/>
      <c r="G31" s="16"/>
      <c r="H31" s="17"/>
      <c r="I31" s="23"/>
      <c r="J31" s="23"/>
      <c r="K31" s="24"/>
    </row>
    <row r="32" ht="42" customHeight="1" spans="1:11" x14ac:dyDescent="0.25">
      <c r="A32" s="10">
        <v>21</v>
      </c>
      <c r="B32" s="32" t="s">
        <v>59</v>
      </c>
      <c r="C32" s="12" t="s">
        <v>68</v>
      </c>
      <c r="D32" s="13" t="s">
        <v>69</v>
      </c>
      <c r="E32" s="25" t="s">
        <v>28</v>
      </c>
      <c r="F32" s="15"/>
      <c r="G32" s="16"/>
      <c r="H32" s="17"/>
      <c r="I32" s="18"/>
      <c r="J32" s="18"/>
      <c r="K32" s="19"/>
    </row>
    <row r="33" ht="21.75" customHeight="1" spans="1:11" x14ac:dyDescent="0.25">
      <c r="A33" s="33" t="s">
        <v>70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 ht="42" customHeight="1" spans="1:11" x14ac:dyDescent="0.25">
      <c r="A34" s="20">
        <v>22</v>
      </c>
      <c r="B34" s="34" t="s">
        <v>71</v>
      </c>
      <c r="C34" s="21" t="s">
        <v>72</v>
      </c>
      <c r="D34" s="22" t="s">
        <v>73</v>
      </c>
      <c r="E34" s="14" t="s">
        <v>21</v>
      </c>
      <c r="F34" s="15"/>
      <c r="G34" s="16"/>
      <c r="H34" s="17"/>
      <c r="I34" s="23"/>
      <c r="J34" s="23"/>
      <c r="K34" s="24"/>
    </row>
    <row r="35" ht="42" customHeight="1" spans="1:11" x14ac:dyDescent="0.25">
      <c r="A35" s="10">
        <v>23</v>
      </c>
      <c r="B35" s="34" t="s">
        <v>71</v>
      </c>
      <c r="C35" s="12" t="s">
        <v>74</v>
      </c>
      <c r="D35" s="13" t="s">
        <v>75</v>
      </c>
      <c r="E35" s="14" t="s">
        <v>21</v>
      </c>
      <c r="F35" s="15"/>
      <c r="G35" s="16"/>
      <c r="H35" s="17"/>
      <c r="I35" s="18"/>
      <c r="J35" s="18"/>
      <c r="K35" s="19"/>
    </row>
    <row r="36" ht="42" customHeight="1" spans="1:11" x14ac:dyDescent="0.25">
      <c r="A36" s="20">
        <v>24</v>
      </c>
      <c r="B36" s="34" t="s">
        <v>71</v>
      </c>
      <c r="C36" s="21" t="s">
        <v>76</v>
      </c>
      <c r="D36" s="22" t="s">
        <v>77</v>
      </c>
      <c r="E36" s="25" t="s">
        <v>28</v>
      </c>
      <c r="F36" s="15"/>
      <c r="G36" s="16"/>
      <c r="H36" s="17"/>
      <c r="I36" s="23"/>
      <c r="J36" s="23"/>
      <c r="K36" s="24"/>
    </row>
    <row r="37" ht="42" customHeight="1" spans="1:11" x14ac:dyDescent="0.25">
      <c r="A37" s="10">
        <v>25</v>
      </c>
      <c r="B37" s="34" t="s">
        <v>71</v>
      </c>
      <c r="C37" s="12" t="s">
        <v>78</v>
      </c>
      <c r="D37" s="13" t="s">
        <v>79</v>
      </c>
      <c r="E37" s="28" t="s">
        <v>47</v>
      </c>
      <c r="F37" s="15"/>
      <c r="G37" s="16"/>
      <c r="H37" s="17"/>
      <c r="I37" s="18"/>
      <c r="J37" s="18"/>
      <c r="K37" s="19"/>
    </row>
    <row r="38" ht="21.75" customHeight="1" spans="1:11" x14ac:dyDescent="0.25">
      <c r="A38" s="35" t="s">
        <v>80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</row>
    <row r="39" ht="42" customHeight="1" spans="1:11" x14ac:dyDescent="0.25">
      <c r="A39" s="20">
        <v>26</v>
      </c>
      <c r="B39" s="36" t="s">
        <v>81</v>
      </c>
      <c r="C39" s="21" t="s">
        <v>82</v>
      </c>
      <c r="D39" s="22" t="s">
        <v>83</v>
      </c>
      <c r="E39" s="14" t="s">
        <v>21</v>
      </c>
      <c r="F39" s="15"/>
      <c r="G39" s="16"/>
      <c r="H39" s="17"/>
      <c r="I39" s="23"/>
      <c r="J39" s="23"/>
      <c r="K39" s="24"/>
    </row>
    <row r="40" ht="42" customHeight="1" spans="1:11" x14ac:dyDescent="0.25">
      <c r="A40" s="10">
        <v>27</v>
      </c>
      <c r="B40" s="36" t="s">
        <v>81</v>
      </c>
      <c r="C40" s="12" t="s">
        <v>84</v>
      </c>
      <c r="D40" s="13" t="s">
        <v>85</v>
      </c>
      <c r="E40" s="14" t="s">
        <v>21</v>
      </c>
      <c r="F40" s="15"/>
      <c r="G40" s="16"/>
      <c r="H40" s="17"/>
      <c r="I40" s="18"/>
      <c r="J40" s="18"/>
      <c r="K40" s="19"/>
    </row>
    <row r="41" ht="42" customHeight="1" spans="1:11" x14ac:dyDescent="0.25">
      <c r="A41" s="20">
        <v>28</v>
      </c>
      <c r="B41" s="36" t="s">
        <v>81</v>
      </c>
      <c r="C41" s="21" t="s">
        <v>86</v>
      </c>
      <c r="D41" s="22" t="s">
        <v>87</v>
      </c>
      <c r="E41" s="25" t="s">
        <v>28</v>
      </c>
      <c r="F41" s="15"/>
      <c r="G41" s="16"/>
      <c r="H41" s="17"/>
      <c r="I41" s="23"/>
      <c r="J41" s="23"/>
      <c r="K41" s="24"/>
    </row>
    <row r="42" ht="42" customHeight="1" spans="1:11" x14ac:dyDescent="0.25">
      <c r="A42" s="10">
        <v>29</v>
      </c>
      <c r="B42" s="36" t="s">
        <v>81</v>
      </c>
      <c r="C42" s="12" t="s">
        <v>88</v>
      </c>
      <c r="D42" s="13" t="s">
        <v>89</v>
      </c>
      <c r="E42" s="28" t="s">
        <v>47</v>
      </c>
      <c r="F42" s="15"/>
      <c r="G42" s="16"/>
      <c r="H42" s="17"/>
      <c r="I42" s="18"/>
      <c r="J42" s="18"/>
      <c r="K42" s="19"/>
    </row>
    <row r="43" ht="7.5" customHeight="1" spans="1:1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21.75" customHeight="1" spans="1:11" x14ac:dyDescent="0.25">
      <c r="A44" s="37" t="s">
        <v>90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ht="36" customHeight="1" spans="1:11" x14ac:dyDescent="0.25">
      <c r="A45" s="6"/>
      <c r="B45" s="6"/>
      <c r="C45" s="38" t="s">
        <v>91</v>
      </c>
      <c r="D45" s="38"/>
      <c r="E45" s="6"/>
      <c r="F45" s="39"/>
      <c r="G45" s="16"/>
      <c r="H45" s="6"/>
      <c r="I45" s="6"/>
      <c r="J45" s="6"/>
      <c r="K45" s="6"/>
    </row>
    <row r="46" ht="36" customHeight="1" spans="1:11" x14ac:dyDescent="0.25">
      <c r="A46" s="40"/>
      <c r="B46" s="40"/>
      <c r="C46" s="41" t="s">
        <v>92</v>
      </c>
      <c r="D46" s="41"/>
      <c r="E46" s="40"/>
      <c r="F46" s="39"/>
      <c r="G46" s="16"/>
      <c r="H46" s="40"/>
      <c r="I46" s="40"/>
      <c r="J46" s="40"/>
      <c r="K46" s="40"/>
    </row>
    <row r="47" ht="36" customHeight="1" spans="1:11" x14ac:dyDescent="0.25">
      <c r="A47" s="6"/>
      <c r="B47" s="6"/>
      <c r="C47" s="38" t="s">
        <v>93</v>
      </c>
      <c r="D47" s="38"/>
      <c r="E47" s="6"/>
      <c r="F47" s="39"/>
      <c r="G47" s="16"/>
      <c r="H47" s="6"/>
      <c r="I47" s="6"/>
      <c r="J47" s="6"/>
      <c r="K47" s="6"/>
    </row>
    <row r="48" ht="36" customHeight="1" spans="1:11" x14ac:dyDescent="0.25">
      <c r="A48" s="40"/>
      <c r="B48" s="40"/>
      <c r="C48" s="41" t="s">
        <v>94</v>
      </c>
      <c r="D48" s="41"/>
      <c r="E48" s="40"/>
      <c r="F48" s="39"/>
      <c r="G48" s="16"/>
      <c r="H48" s="40"/>
      <c r="I48" s="40"/>
      <c r="J48" s="40"/>
      <c r="K48" s="40"/>
    </row>
    <row r="49" ht="27.75" customHeight="1" spans="1:11" x14ac:dyDescent="0.25">
      <c r="A49" s="42" t="s">
        <v>95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ht="7.5" customHeight="1" spans="1:1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8" customHeight="1" spans="1:11" x14ac:dyDescent="0.25">
      <c r="A51" s="43" t="s">
        <v>96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</row>
    <row r="52" ht="18" customHeight="1" spans="1:11" x14ac:dyDescent="0.25">
      <c r="A52" s="44" t="s">
        <v>97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</row>
  </sheetData>
  <sheetProtection sheet="1" formatCells="0" formatColumns="0" formatRows="0" sort="0" autoFilter="0" algorithmName="SHA-512" hashValue="sx3hX1FtdN8+/15v7Hg66t73albLklbns5eoWvahiDahXUO6kuxylyLUQRJN3WqGH4blo31hFftzVSFJH+8itA==" saltValue="WZt/tXvQ/sRuyOiAUbcxqg==" spinCount="100000"/>
  <mergeCells count="19">
    <mergeCell ref="A2:K2"/>
    <mergeCell ref="A3:K3"/>
    <mergeCell ref="A4:K4"/>
    <mergeCell ref="A5:K5"/>
    <mergeCell ref="F6:H6"/>
    <mergeCell ref="A8:K8"/>
    <mergeCell ref="A15:K15"/>
    <mergeCell ref="A22:K22"/>
    <mergeCell ref="A27:K27"/>
    <mergeCell ref="A33:K33"/>
    <mergeCell ref="A38:K38"/>
    <mergeCell ref="A44:K44"/>
    <mergeCell ref="C45:D45"/>
    <mergeCell ref="C46:D46"/>
    <mergeCell ref="C47:D47"/>
    <mergeCell ref="C48:D48"/>
    <mergeCell ref="A49:K49"/>
    <mergeCell ref="A51:K51"/>
    <mergeCell ref="A52:K52"/>
  </mergeCells>
  <dataValidations count="8">
    <dataValidation type="list" allowBlank="1" sqref="F10:H14">
      <formula1>"X"</formula1>
    </dataValidation>
    <dataValidation type="list" allowBlank="1" sqref="F16:H21">
      <formula1>"X"</formula1>
    </dataValidation>
    <dataValidation type="list" allowBlank="1" sqref="F23:H26">
      <formula1>"X"</formula1>
    </dataValidation>
    <dataValidation type="list" allowBlank="1" sqref="F28:H32">
      <formula1>"X"</formula1>
    </dataValidation>
    <dataValidation type="list" allowBlank="1" sqref="F34:H37">
      <formula1>"X"</formula1>
    </dataValidation>
    <dataValidation type="list" allowBlank="1" sqref="F39:H42">
      <formula1>"X"</formula1>
    </dataValidation>
    <dataValidation type="list" allowBlank="1" sqref="F45:G48">
      <formula1>"X"</formula1>
    </dataValidation>
    <dataValidation type="list" allowBlank="1" sqref="F9:H14">
      <formula1>"X"</formula1>
    </dataValidation>
  </dataValidations>
  <pageMargins left="0.75" right="0.75" top="1" bottom="1" header="0.511811023622047" footer="0.511811023622047"/>
  <pageSetup paperSize="1" orientation="landscape" horizontalDpi="300" verticalDpi="300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workbookViewId="0" showGridLines="0" zoomScale="100" zoomScaleNormal="100">
      <selection activeCell="A1" sqref="A1"/>
    </sheetView>
  </sheetViews>
  <sheetFormatPr defaultRowHeight="16.8" outlineLevelRow="0" outlineLevelCol="6" x14ac:dyDescent="0" defaultColWidth="8.6328125" customHeight="1"/>
  <cols>
    <col min="1" max="1" width="20.8359375" customWidth="1"/>
    <col min="2" max="2" width="32" customWidth="1"/>
    <col min="3" max="6" width="14" customWidth="1"/>
    <col min="7" max="7" width="16" customWidth="1"/>
  </cols>
  <sheetData>
    <row r="1" ht="49" customHeight="1" spans="1:7" x14ac:dyDescent="0.25">
      <c r="A1" s="1" t="s">
        <v>0</v>
      </c>
      <c r="B1" s="1"/>
      <c r="C1" s="45"/>
      <c r="D1" s="45"/>
      <c r="E1" s="45"/>
      <c r="F1" s="45"/>
      <c r="G1" s="45"/>
    </row>
    <row r="2" ht="31.5" customHeight="1" spans="1:7" x14ac:dyDescent="0.25">
      <c r="A2" s="46" t="s">
        <v>98</v>
      </c>
      <c r="B2" s="46"/>
      <c r="C2" s="46"/>
      <c r="D2" s="46"/>
      <c r="E2" s="46"/>
      <c r="F2" s="46"/>
      <c r="G2" s="46"/>
    </row>
    <row r="3" ht="19.5" customHeight="1" spans="1:7" x14ac:dyDescent="0.25">
      <c r="A3" s="47" t="s">
        <v>99</v>
      </c>
      <c r="B3" s="47"/>
      <c r="C3" s="47"/>
      <c r="D3" s="47"/>
      <c r="E3" s="47"/>
      <c r="F3" s="47"/>
      <c r="G3" s="47"/>
    </row>
    <row r="4" ht="7.5" customHeight="1" spans="1:7" x14ac:dyDescent="0.25">
      <c r="A4" s="6"/>
      <c r="B4" s="6"/>
      <c r="C4" s="6"/>
      <c r="D4" s="6"/>
      <c r="E4" s="6"/>
      <c r="F4" s="6"/>
      <c r="G4" s="6"/>
    </row>
    <row r="5" ht="21.75" customHeight="1" spans="1:7" x14ac:dyDescent="0.25">
      <c r="A5" s="37" t="s">
        <v>100</v>
      </c>
      <c r="B5" s="37"/>
      <c r="C5" s="37"/>
      <c r="D5" s="37"/>
      <c r="E5" s="37"/>
      <c r="F5" s="37"/>
      <c r="G5" s="37"/>
    </row>
    <row r="6" ht="30" customHeight="1" spans="2:7" x14ac:dyDescent="0.25">
      <c r="B6" s="48" t="s">
        <v>101</v>
      </c>
      <c r="C6" s="49" t="s">
        <v>102</v>
      </c>
      <c r="D6" s="50" t="s">
        <v>103</v>
      </c>
      <c r="E6" s="51" t="s">
        <v>104</v>
      </c>
      <c r="F6" s="52" t="s">
        <v>105</v>
      </c>
      <c r="G6" s="48" t="s">
        <v>106</v>
      </c>
    </row>
    <row r="7" ht="31.5" customHeight="1" spans="2:7" x14ac:dyDescent="0.25">
      <c r="B7" s="53">
        <v>29</v>
      </c>
      <c r="C7" s="54">
        <f>COUNTIF(Checklist!F:F,"X")</f>
        <v>0</v>
      </c>
      <c r="D7" s="55">
        <f>COUNTIF(Checklist!G:G,"X")</f>
        <v>0</v>
      </c>
      <c r="E7" s="56">
        <f>COUNTIF(Checklist!H:H,"X")</f>
        <v>0</v>
      </c>
      <c r="F7" s="57">
        <f>IFERROR(C7/29,0)</f>
        <v>0</v>
      </c>
      <c r="G7" s="58">
        <f>29-C7</f>
        <v>29</v>
      </c>
    </row>
    <row r="8" ht="7.5" customHeight="1" spans="1:7" x14ac:dyDescent="0.25">
      <c r="A8" s="6"/>
      <c r="B8" s="6"/>
      <c r="C8" s="6"/>
      <c r="D8" s="6"/>
      <c r="E8" s="6"/>
      <c r="F8" s="6"/>
      <c r="G8" s="6"/>
    </row>
    <row r="9" ht="21.75" customHeight="1" spans="1:7" x14ac:dyDescent="0.25">
      <c r="A9" s="37" t="s">
        <v>107</v>
      </c>
      <c r="B9" s="37"/>
      <c r="C9" s="37"/>
      <c r="D9" s="37"/>
      <c r="E9" s="37"/>
      <c r="F9" s="37"/>
      <c r="G9" s="37"/>
    </row>
    <row r="10" ht="30" customHeight="1" spans="1:7" x14ac:dyDescent="0.25">
      <c r="A10" s="8" t="s">
        <v>6</v>
      </c>
      <c r="B10" s="8" t="s">
        <v>7</v>
      </c>
      <c r="C10" s="8" t="s">
        <v>108</v>
      </c>
      <c r="D10" s="8" t="s">
        <v>102</v>
      </c>
      <c r="E10" s="8" t="s">
        <v>103</v>
      </c>
      <c r="F10" s="8" t="s">
        <v>104</v>
      </c>
      <c r="G10" s="8" t="s">
        <v>105</v>
      </c>
    </row>
    <row r="11" ht="27.75" customHeight="1" spans="1:7" x14ac:dyDescent="0.25">
      <c r="A11" s="59" t="s">
        <v>109</v>
      </c>
      <c r="B11" s="60" t="s">
        <v>18</v>
      </c>
      <c r="C11" s="61">
        <v>6</v>
      </c>
      <c r="D11" s="62">
        <f>SUMPRODUCT(((Checklist!F9="X")+(Checklist!F10="X")+(Checklist!F11="X")+(Checklist!F12="X")+(Checklist!F13="X")+(Checklist!F14="X"))*1)</f>
        <v>0</v>
      </c>
      <c r="E11" s="63">
        <f>SUMPRODUCT(((Checklist!G9="X")+(Checklist!G10="X")+(Checklist!G11="X")+(Checklist!G12="X")+(Checklist!G13="X")+(Checklist!G14="X"))*1)</f>
        <v>0</v>
      </c>
      <c r="F11" s="64">
        <f>SUMPRODUCT(((Checklist!H9="X")+(Checklist!H10="X")+(Checklist!H11="X")+(Checklist!H12="X")+(Checklist!H13="X")+(Checklist!H14="X"))*1)</f>
        <v>0</v>
      </c>
      <c r="G11" s="65">
        <f>IFERROR(D11/6,0)</f>
        <v>0</v>
      </c>
    </row>
    <row r="12" ht="27.75" customHeight="1" spans="1:7" x14ac:dyDescent="0.25">
      <c r="A12" s="66" t="s">
        <v>110</v>
      </c>
      <c r="B12" s="67" t="s">
        <v>34</v>
      </c>
      <c r="C12" s="68">
        <v>6</v>
      </c>
      <c r="D12" s="62">
        <f>SUMPRODUCT(((Checklist!F16="X")+(Checklist!F17="X")+(Checklist!F18="X")+(Checklist!F19="X")+(Checklist!F20="X")+(Checklist!F21="X"))*1)</f>
        <v>0</v>
      </c>
      <c r="E12" s="63">
        <f>SUMPRODUCT(((Checklist!G16="X")+(Checklist!G17="X")+(Checklist!G18="X")+(Checklist!G19="X")+(Checklist!G20="X")+(Checklist!G21="X"))*1)</f>
        <v>0</v>
      </c>
      <c r="F12" s="64">
        <f>SUMPRODUCT(((Checklist!H16="X")+(Checklist!H17="X")+(Checklist!H18="X")+(Checklist!H19="X")+(Checklist!H20="X")+(Checklist!H21="X"))*1)</f>
        <v>0</v>
      </c>
      <c r="G12" s="65">
        <f>IFERROR(D12/6,0)</f>
        <v>0</v>
      </c>
    </row>
    <row r="13" ht="27.75" customHeight="1" spans="1:7" x14ac:dyDescent="0.25">
      <c r="A13" s="69" t="s">
        <v>111</v>
      </c>
      <c r="B13" s="70" t="s">
        <v>49</v>
      </c>
      <c r="C13" s="61">
        <v>4</v>
      </c>
      <c r="D13" s="62">
        <f>SUMPRODUCT(((Checklist!F23="X")+(Checklist!F24="X")+(Checklist!F25="X")+(Checklist!F26="X"))*1)</f>
        <v>0</v>
      </c>
      <c r="E13" s="63">
        <f>SUMPRODUCT(((Checklist!G23="X")+(Checklist!G24="X")+(Checklist!G25="X")+(Checklist!G26="X"))*1)</f>
        <v>0</v>
      </c>
      <c r="F13" s="64">
        <f>SUMPRODUCT(((Checklist!H23="X")+(Checklist!H24="X")+(Checklist!H25="X")+(Checklist!H26="X"))*1)</f>
        <v>0</v>
      </c>
      <c r="G13" s="65">
        <f>IFERROR(D13/4,0)</f>
        <v>0</v>
      </c>
    </row>
    <row r="14" ht="27.75" customHeight="1" spans="1:7" x14ac:dyDescent="0.25">
      <c r="A14" s="71" t="s">
        <v>112</v>
      </c>
      <c r="B14" s="72" t="s">
        <v>59</v>
      </c>
      <c r="C14" s="68">
        <v>5</v>
      </c>
      <c r="D14" s="62">
        <f>SUMPRODUCT(((Checklist!F28="X")+(Checklist!F29="X")+(Checklist!F30="X")+(Checklist!F31="X")+(Checklist!F32="X"))*1)</f>
        <v>0</v>
      </c>
      <c r="E14" s="63">
        <f>SUMPRODUCT(((Checklist!G28="X")+(Checklist!G29="X")+(Checklist!G30="X")+(Checklist!G31="X")+(Checklist!G32="X"))*1)</f>
        <v>0</v>
      </c>
      <c r="F14" s="64">
        <f>SUMPRODUCT(((Checklist!H28="X")+(Checklist!H29="X")+(Checklist!H30="X")+(Checklist!H31="X")+(Checklist!H32="X"))*1)</f>
        <v>0</v>
      </c>
      <c r="G14" s="65">
        <f>IFERROR(D14/5,0)</f>
        <v>0</v>
      </c>
    </row>
    <row r="15" ht="27.75" customHeight="1" spans="1:7" x14ac:dyDescent="0.25">
      <c r="A15" s="73" t="s">
        <v>113</v>
      </c>
      <c r="B15" s="74" t="s">
        <v>71</v>
      </c>
      <c r="C15" s="61">
        <v>4</v>
      </c>
      <c r="D15" s="62">
        <f>SUMPRODUCT(((Checklist!F34="X")+(Checklist!F35="X")+(Checklist!F36="X")+(Checklist!F37="X"))*1)</f>
        <v>0</v>
      </c>
      <c r="E15" s="63">
        <f>SUMPRODUCT(((Checklist!G34="X")+(Checklist!G35="X")+(Checklist!G36="X")+(Checklist!G37="X"))*1)</f>
        <v>0</v>
      </c>
      <c r="F15" s="64">
        <f>SUMPRODUCT(((Checklist!H34="X")+(Checklist!H35="X")+(Checklist!H36="X")+(Checklist!H37="X"))*1)</f>
        <v>0</v>
      </c>
      <c r="G15" s="65">
        <f>IFERROR(D15/4,0)</f>
        <v>0</v>
      </c>
    </row>
    <row r="16" ht="27.75" customHeight="1" spans="1:7" x14ac:dyDescent="0.25">
      <c r="A16" s="75" t="s">
        <v>114</v>
      </c>
      <c r="B16" s="76" t="s">
        <v>81</v>
      </c>
      <c r="C16" s="68">
        <v>4</v>
      </c>
      <c r="D16" s="62">
        <f>SUMPRODUCT(((Checklist!F39="X")+(Checklist!F40="X")+(Checklist!F41="X")+(Checklist!F42="X"))*1)</f>
        <v>0</v>
      </c>
      <c r="E16" s="63">
        <f>SUMPRODUCT(((Checklist!G39="X")+(Checklist!G40="X")+(Checklist!G41="X")+(Checklist!G42="X"))*1)</f>
        <v>0</v>
      </c>
      <c r="F16" s="64">
        <f>SUMPRODUCT(((Checklist!H39="X")+(Checklist!H40="X")+(Checklist!H41="X")+(Checklist!H42="X"))*1)</f>
        <v>0</v>
      </c>
      <c r="G16" s="65">
        <f>IFERROR(D16/4,0)</f>
        <v>0</v>
      </c>
    </row>
    <row r="17" ht="7.5" customHeight="1" spans="1:7" x14ac:dyDescent="0.25">
      <c r="A17" s="6"/>
      <c r="B17" s="6"/>
      <c r="C17" s="6"/>
      <c r="D17" s="6"/>
      <c r="E17" s="6"/>
      <c r="F17" s="6"/>
      <c r="G17" s="6"/>
    </row>
    <row r="18" ht="21.75" customHeight="1" spans="1:7" x14ac:dyDescent="0.25">
      <c r="A18" s="37" t="s">
        <v>115</v>
      </c>
      <c r="B18" s="37"/>
      <c r="C18" s="37"/>
      <c r="D18" s="37"/>
      <c r="E18" s="37"/>
      <c r="F18" s="37"/>
      <c r="G18" s="37"/>
    </row>
    <row r="19" ht="21.75" customHeight="1" spans="1:7" x14ac:dyDescent="0.25">
      <c r="A19" s="77" t="s">
        <v>10</v>
      </c>
      <c r="B19" s="77" t="s">
        <v>116</v>
      </c>
      <c r="C19" s="77" t="s">
        <v>11</v>
      </c>
      <c r="D19" s="77" t="s">
        <v>12</v>
      </c>
      <c r="E19" s="77" t="s">
        <v>104</v>
      </c>
      <c r="F19" s="77" t="s">
        <v>105</v>
      </c>
      <c r="G19" s="77"/>
    </row>
    <row r="20" ht="25.5" customHeight="1" spans="1:6" x14ac:dyDescent="0.25">
      <c r="A20" s="78" t="s">
        <v>21</v>
      </c>
      <c r="B20" s="61">
        <v>12</v>
      </c>
      <c r="C20" s="62">
        <f>SUMPRODUCT(((Checklist!F9="X")+(Checklist!F10="X")+(Checklist!F11="X")+(Checklist!F16="X")+(Checklist!F17="X")+(Checklist!F23="X")+(Checklist!F24="X")+(Checklist!F28="X")+(Checklist!F34="X")+(Checklist!F35="X")+(Checklist!F39="X")+(Checklist!F40="X"))*1)</f>
        <v>0</v>
      </c>
      <c r="D20" s="63">
        <f>SUMPRODUCT(((Checklist!G9="X")+(Checklist!G10="X")+(Checklist!G11="X")+(Checklist!G16="X")+(Checklist!G17="X")+(Checklist!G23="X")+(Checklist!G24="X")+(Checklist!G28="X")+(Checklist!G34="X")+(Checklist!G35="X")+(Checklist!G39="X")+(Checklist!G40="X"))*1)</f>
        <v>0</v>
      </c>
      <c r="E20" s="64">
        <f>SUMPRODUCT(((Checklist!H9="X")+(Checklist!H10="X")+(Checklist!H11="X")+(Checklist!H16="X")+(Checklist!H17="X")+(Checklist!H23="X")+(Checklist!H24="X")+(Checklist!H28="X")+(Checklist!H34="X")+(Checklist!H35="X")+(Checklist!H39="X")+(Checklist!H40="X"))*1)</f>
        <v>0</v>
      </c>
      <c r="F20" s="65">
        <f>IFERROR(C20/12,0)</f>
        <v>0</v>
      </c>
    </row>
    <row r="21" ht="25.5" customHeight="1" spans="1:6" x14ac:dyDescent="0.25">
      <c r="A21" s="79" t="s">
        <v>28</v>
      </c>
      <c r="B21" s="68">
        <v>12</v>
      </c>
      <c r="C21" s="62">
        <f>SUMPRODUCT(((Checklist!F12="X")+(Checklist!F13="X")+(Checklist!F14="X")+(Checklist!F18="X")+(Checklist!F19="X")+(Checklist!F20="X")+(Checklist!F25="X")+(Checklist!F29="X")+(Checklist!F30="X")+(Checklist!F32="X")+(Checklist!F36="X")+(Checklist!F41="X"))*1)</f>
        <v>0</v>
      </c>
      <c r="D21" s="63">
        <f>SUMPRODUCT(((Checklist!G12="X")+(Checklist!G13="X")+(Checklist!G14="X")+(Checklist!G18="X")+(Checklist!G19="X")+(Checklist!G20="X")+(Checklist!G25="X")+(Checklist!G29="X")+(Checklist!G30="X")+(Checklist!G32="X")+(Checklist!G36="X")+(Checklist!G41="X"))*1)</f>
        <v>0</v>
      </c>
      <c r="E21" s="64">
        <f>SUMPRODUCT(((Checklist!H12="X")+(Checklist!H13="X")+(Checklist!H14="X")+(Checklist!H18="X")+(Checklist!H19="X")+(Checklist!H20="X")+(Checklist!H25="X")+(Checklist!H29="X")+(Checklist!H30="X")+(Checklist!H32="X")+(Checklist!H36="X")+(Checklist!H41="X"))*1)</f>
        <v>0</v>
      </c>
      <c r="F21" s="65">
        <f>IFERROR(C21/12,0)</f>
        <v>0</v>
      </c>
    </row>
    <row r="22" ht="25.5" customHeight="1" spans="1:6" x14ac:dyDescent="0.25">
      <c r="A22" s="80" t="s">
        <v>47</v>
      </c>
      <c r="B22" s="61">
        <v>5</v>
      </c>
      <c r="C22" s="62">
        <f>SUMPRODUCT(((Checklist!F21="X")+(Checklist!F26="X")+(Checklist!F31="X")+(Checklist!F37="X")+(Checklist!F42="X"))*1)</f>
        <v>0</v>
      </c>
      <c r="D22" s="63">
        <f>SUMPRODUCT(((Checklist!G21="X")+(Checklist!G26="X")+(Checklist!G31="X")+(Checklist!G37="X")+(Checklist!G42="X"))*1)</f>
        <v>0</v>
      </c>
      <c r="E22" s="64">
        <f>SUMPRODUCT(((Checklist!H21="X")+(Checklist!H26="X")+(Checklist!H31="X")+(Checklist!H37="X")+(Checklist!H42="X"))*1)</f>
        <v>0</v>
      </c>
      <c r="F22" s="65">
        <f>IFERROR(C22/5,0)</f>
        <v>0</v>
      </c>
    </row>
    <row r="23" ht="7.5" customHeight="1" spans="1:7" x14ac:dyDescent="0.25">
      <c r="A23" s="6"/>
      <c r="B23" s="6"/>
      <c r="C23" s="6"/>
      <c r="D23" s="6"/>
      <c r="E23" s="6"/>
      <c r="F23" s="6"/>
      <c r="G23" s="6"/>
    </row>
    <row r="24" ht="18" customHeight="1" spans="1:7" x14ac:dyDescent="0.25">
      <c r="A24" s="81" t="s">
        <v>117</v>
      </c>
      <c r="B24" s="82"/>
      <c r="C24" s="82"/>
      <c r="D24" s="82"/>
      <c r="E24" s="82"/>
      <c r="F24" s="82"/>
      <c r="G24" s="82"/>
    </row>
  </sheetData>
  <sheetProtection sheet="1" formatCells="0" formatColumns="0" formatRows="0" sort="0" autoFilter="0" algorithmName="SHA-512" hashValue="eaEv07R8nyrSQu1f2QuVUzafC6jNefGOXBy0+St0xMijuNimU37odEAUYfLhQaqg6IIBgQLKR+Zf/DtPIILkDg==" saltValue="b4uL8oM5mPR/lsaATtJCEA==" spinCount="100000"/>
  <mergeCells count="6">
    <mergeCell ref="A2:G2"/>
    <mergeCell ref="A3:G3"/>
    <mergeCell ref="A5:G5"/>
    <mergeCell ref="A9:G9"/>
    <mergeCell ref="A18:G18"/>
    <mergeCell ref="A24:G24"/>
  </mergeCells>
  <pageMargins left="0.75" right="0.75" top="1" bottom="1" header="0.511811023622047" footer="0.511811023622047"/>
  <pageSetup paperSize="1" orientation="portrait" horizontalDpi="300" verticalDpi="300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tanishq</cp:lastModifiedBy>
  <dcterms:created xsi:type="dcterms:W3CDTF">2026-06-24T23:36:00Z</dcterms:created>
  <dcterms:modified xsi:type="dcterms:W3CDTF">2026-06-24T23:29:51Z</dcterms:modified>
</cp:coreProperties>
</file>